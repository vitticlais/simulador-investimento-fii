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erguntas" sheetId="1" state="visible" r:id="rId1"/>
    <sheet xmlns:r="http://schemas.openxmlformats.org/officeDocument/2006/relationships" name="Suporte" sheetId="2" state="visible" r:id="rId2"/>
  </sheets>
  <definedNames>
    <definedName name="Aporte">Perguntas!$C$8</definedName>
    <definedName name="Quantidade_Anos">Perguntas!$C$9</definedName>
    <definedName name="Rendimento_Carteira">Perguntas!$C$4</definedName>
    <definedName name="TX_Mensal">Perguntas!$C$10</definedName>
    <definedName name="_xlnm.Print_Area" localSheetId="0">'Perguntas'!$B$2:$D$31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R$&quot;\ #,##0.00;[Red]\-&quot;R$&quot;\ #,##0.00"/>
    <numFmt numFmtId="165" formatCode="&quot;R$&quot;\ #,##0.00"/>
    <numFmt numFmtId="166" formatCode="0.0%"/>
    <numFmt numFmtId="167" formatCode="0.000%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2" tint="-0.0999786370433668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3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3" fillId="5" borderId="0" pivotButton="0" quotePrefix="0" xfId="0"/>
    <xf numFmtId="0" fontId="3" fillId="5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5" fillId="7" borderId="6" pivotButton="0" quotePrefix="0" xfId="0"/>
    <xf numFmtId="0" fontId="5" fillId="7" borderId="8" pivotButton="0" quotePrefix="0" xfId="0"/>
    <xf numFmtId="0" fontId="5" fillId="8" borderId="7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165" fontId="5" fillId="5" borderId="11" applyAlignment="1" pivotButton="0" quotePrefix="0" xfId="0">
      <alignment horizontal="center"/>
    </xf>
    <xf numFmtId="165" fontId="5" fillId="5" borderId="7" applyAlignment="1" pivotButton="0" quotePrefix="0" xfId="0">
      <alignment horizontal="center"/>
    </xf>
    <xf numFmtId="166" fontId="5" fillId="5" borderId="11" applyAlignment="1" pivotButton="0" quotePrefix="0" xfId="0">
      <alignment horizontal="center"/>
    </xf>
    <xf numFmtId="166" fontId="5" fillId="5" borderId="7" applyAlignment="1" pivotButton="0" quotePrefix="0" xfId="0">
      <alignment horizontal="center"/>
    </xf>
    <xf numFmtId="165" fontId="5" fillId="5" borderId="10" applyAlignment="1" pivotButton="0" quotePrefix="0" xfId="0">
      <alignment horizontal="center"/>
    </xf>
    <xf numFmtId="165" fontId="5" fillId="5" borderId="9" applyAlignment="1" pivotButton="0" quotePrefix="0" xfId="0">
      <alignment horizontal="center"/>
    </xf>
    <xf numFmtId="167" fontId="5" fillId="8" borderId="11" applyAlignment="1" pivotButton="0" quotePrefix="0" xfId="0">
      <alignment horizontal="center"/>
    </xf>
    <xf numFmtId="167" fontId="5" fillId="8" borderId="7" applyAlignment="1" pivotButton="0" quotePrefix="0" xfId="0">
      <alignment horizontal="center"/>
    </xf>
    <xf numFmtId="165" fontId="5" fillId="8" borderId="12" applyAlignment="1" pivotButton="0" quotePrefix="0" xfId="0">
      <alignment horizontal="center"/>
    </xf>
    <xf numFmtId="165" fontId="5" fillId="8" borderId="7" applyAlignment="1" pivotButton="0" quotePrefix="0" xfId="0">
      <alignment horizontal="center"/>
    </xf>
    <xf numFmtId="165" fontId="5" fillId="8" borderId="13" applyAlignment="1" pivotButton="0" quotePrefix="0" xfId="0">
      <alignment horizontal="center"/>
    </xf>
    <xf numFmtId="165" fontId="5" fillId="8" borderId="9" applyAlignment="1" pivotButton="0" quotePrefix="0" xfId="0">
      <alignment horizontal="center"/>
    </xf>
    <xf numFmtId="165" fontId="5" fillId="8" borderId="11" applyAlignment="1" pivotButton="0" quotePrefix="0" xfId="0">
      <alignment horizontal="center"/>
    </xf>
    <xf numFmtId="165" fontId="5" fillId="8" borderId="7" applyAlignment="1" pivotButton="0" quotePrefix="0" xfId="0">
      <alignment horizontal="center"/>
    </xf>
    <xf numFmtId="165" fontId="5" fillId="8" borderId="10" applyAlignment="1" pivotButton="0" quotePrefix="0" xfId="0">
      <alignment horizontal="center"/>
    </xf>
    <xf numFmtId="165" fontId="5" fillId="8" borderId="9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0" fillId="9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9" fontId="0" fillId="2" borderId="0" applyAlignment="1" pivotButton="0" quotePrefix="0" xfId="0">
      <alignment horizontal="center" vertical="center"/>
    </xf>
    <xf numFmtId="0" fontId="2" fillId="3" borderId="0" applyAlignment="1" pivotButton="0" quotePrefix="0" xfId="1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2" fillId="3" borderId="0" applyAlignment="1" pivotButton="0" quotePrefix="0" xfId="1">
      <alignment horizontal="left" vertical="center"/>
    </xf>
    <xf numFmtId="0" fontId="0" fillId="9" borderId="0" applyAlignment="1" pivotButton="0" quotePrefix="0" xfId="0">
      <alignment horizontal="left" vertical="center"/>
    </xf>
    <xf numFmtId="165" fontId="0" fillId="9" borderId="0" applyAlignment="1" pivotButton="0" quotePrefix="0" xfId="0">
      <alignment horizontal="left" vertical="center"/>
    </xf>
    <xf numFmtId="165" fontId="0" fillId="2" borderId="0" applyAlignment="1" pivotButton="0" quotePrefix="0" xfId="0">
      <alignment horizontal="center" vertical="center"/>
    </xf>
    <xf numFmtId="165" fontId="1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4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5" pivotButton="0" quotePrefix="0" xfId="0"/>
    <xf numFmtId="165" fontId="5" fillId="5" borderId="14" applyAlignment="1" pivotButton="0" quotePrefix="0" xfId="0">
      <alignment horizontal="center"/>
    </xf>
    <xf numFmtId="0" fontId="0" fillId="0" borderId="7" pivotButton="0" quotePrefix="0" xfId="0"/>
    <xf numFmtId="166" fontId="5" fillId="5" borderId="14" applyAlignment="1" pivotButton="0" quotePrefix="0" xfId="0">
      <alignment horizontal="center"/>
    </xf>
    <xf numFmtId="165" fontId="5" fillId="5" borderId="17" applyAlignment="1" pivotButton="0" quotePrefix="0" xfId="0">
      <alignment horizontal="center"/>
    </xf>
    <xf numFmtId="0" fontId="0" fillId="0" borderId="9" pivotButton="0" quotePrefix="0" xfId="0"/>
    <xf numFmtId="0" fontId="4" fillId="6" borderId="18" applyAlignment="1" pivotButton="0" quotePrefix="0" xfId="0">
      <alignment horizontal="center" vertical="center"/>
    </xf>
    <xf numFmtId="165" fontId="5" fillId="8" borderId="14" applyAlignment="1" pivotButton="0" quotePrefix="0" xfId="0">
      <alignment horizontal="center"/>
    </xf>
    <xf numFmtId="0" fontId="5" fillId="8" borderId="14" applyAlignment="1" pivotButton="0" quotePrefix="0" xfId="0">
      <alignment horizontal="center"/>
    </xf>
    <xf numFmtId="167" fontId="5" fillId="8" borderId="14" applyAlignment="1" pivotButton="0" quotePrefix="0" xfId="0">
      <alignment horizontal="center"/>
    </xf>
    <xf numFmtId="165" fontId="5" fillId="8" borderId="17" applyAlignment="1" pivotButton="0" quotePrefix="0" xfId="0">
      <alignment horizontal="center"/>
    </xf>
    <xf numFmtId="164" fontId="0" fillId="2" borderId="0" pivotButton="0" quotePrefix="0" xfId="0"/>
    <xf numFmtId="165" fontId="5" fillId="8" borderId="12" applyAlignment="1" pivotButton="0" quotePrefix="0" xfId="0">
      <alignment horizontal="center"/>
    </xf>
    <xf numFmtId="165" fontId="5" fillId="8" borderId="7" applyAlignment="1" pivotButton="0" quotePrefix="0" xfId="0">
      <alignment horizontal="center"/>
    </xf>
    <xf numFmtId="165" fontId="5" fillId="8" borderId="13" applyAlignment="1" pivotButton="0" quotePrefix="0" xfId="0">
      <alignment horizontal="center"/>
    </xf>
    <xf numFmtId="165" fontId="5" fillId="8" borderId="9" applyAlignment="1" pivotButton="0" quotePrefix="0" xfId="0">
      <alignment horizontal="center"/>
    </xf>
    <xf numFmtId="165" fontId="0" fillId="9" borderId="0" applyAlignment="1" pivotButton="0" quotePrefix="0" xfId="0">
      <alignment horizontal="left" vertical="center"/>
    </xf>
    <xf numFmtId="165" fontId="0" fillId="2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165" fontId="1" fillId="9" borderId="0" applyAlignment="1" pivotButton="0" quotePrefix="0" xfId="0">
      <alignment horizontal="center" vertical="center"/>
    </xf>
  </cellXfs>
  <cellStyles count="2">
    <cellStyle name="Normal" xfId="0" builtinId="0"/>
    <cellStyle name="Neutral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tabSelected="1" workbookViewId="0">
      <selection activeCell="C9" sqref="C9:D9"/>
    </sheetView>
  </sheetViews>
  <sheetFormatPr baseColWidth="8" defaultColWidth="0" defaultRowHeight="15"/>
  <cols>
    <col width="9.140625" customWidth="1" style="2" min="1" max="1"/>
    <col width="36.140625" customWidth="1" style="2" min="2" max="2"/>
    <col width="28.42578125" bestFit="1" customWidth="1" style="2" min="3" max="3"/>
    <col width="21" customWidth="1" style="2" min="4" max="4"/>
    <col width="9.140625" customWidth="1" style="2" min="5" max="11"/>
    <col hidden="1" width="9.140625" customWidth="1" style="2" min="12" max="12"/>
    <col hidden="1" width="12.7109375" customWidth="1" style="2" min="13" max="13"/>
    <col hidden="1" width="9.140625" customWidth="1" style="2" min="14" max="16384"/>
  </cols>
  <sheetData>
    <row r="1" ht="15.75" customHeight="1" s="46" thickBot="1">
      <c r="A1" s="5" t="n"/>
      <c r="B1" s="5" t="n"/>
      <c r="C1" s="5" t="n"/>
      <c r="D1" s="5" t="n"/>
      <c r="E1" s="5" t="n"/>
      <c r="F1" s="5" t="n"/>
      <c r="G1" s="5" t="n"/>
      <c r="H1" s="5" t="n"/>
    </row>
    <row r="2" ht="18" customHeight="1" s="46">
      <c r="A2" s="5" t="n"/>
      <c r="B2" s="53" t="inlineStr">
        <is>
          <t>Configurações</t>
        </is>
      </c>
      <c r="C2" s="54" t="n"/>
      <c r="D2" s="55" t="n"/>
      <c r="E2" s="5" t="n"/>
      <c r="F2" s="5" t="n"/>
      <c r="G2" s="5" t="n"/>
      <c r="H2" s="5" t="n"/>
    </row>
    <row r="3" ht="18" customHeight="1" s="46">
      <c r="A3" s="5" t="n"/>
      <c r="B3" s="9" t="inlineStr">
        <is>
          <t>Salário</t>
        </is>
      </c>
      <c r="C3" s="56" t="n">
        <v>10000</v>
      </c>
      <c r="D3" s="57" t="n"/>
      <c r="E3" s="5" t="n"/>
      <c r="F3" s="5" t="n"/>
      <c r="G3" s="5" t="n"/>
      <c r="H3" s="5" t="n"/>
    </row>
    <row r="4" ht="18" customHeight="1" s="46">
      <c r="A4" s="5" t="n"/>
      <c r="B4" s="9" t="inlineStr">
        <is>
          <t>Rendimento da Carteira</t>
        </is>
      </c>
      <c r="C4" s="58" t="n">
        <v>0.01</v>
      </c>
      <c r="D4" s="57" t="n"/>
      <c r="E4" s="5" t="n"/>
      <c r="F4" s="5" t="n"/>
      <c r="G4" s="5" t="n"/>
      <c r="H4" s="5" t="n"/>
    </row>
    <row r="5" ht="18" customHeight="1" s="46" thickBot="1">
      <c r="A5" s="5" t="n"/>
      <c r="B5" s="10" t="inlineStr">
        <is>
          <t>Sugestão de Investimento</t>
        </is>
      </c>
      <c r="C5" s="59">
        <f>C3*30%</f>
        <v/>
      </c>
      <c r="D5" s="60" t="n"/>
      <c r="E5" s="5" t="n"/>
      <c r="F5" s="5" t="n"/>
      <c r="G5" s="5" t="n"/>
      <c r="H5" s="5" t="n"/>
    </row>
    <row r="6" ht="18" customHeight="1" s="46" thickBot="1">
      <c r="A6" s="5" t="n"/>
      <c r="B6" s="5" t="n"/>
      <c r="C6" s="5" t="n"/>
      <c r="D6" s="5" t="n"/>
      <c r="E6" s="5" t="n"/>
      <c r="F6" s="5" t="n"/>
      <c r="G6" s="5" t="n"/>
      <c r="H6" s="5" t="n"/>
    </row>
    <row r="7" ht="18" customHeight="1" s="46">
      <c r="A7" s="5" t="n"/>
      <c r="B7" s="61" t="inlineStr">
        <is>
          <t>Perguntas a serem respondidas:</t>
        </is>
      </c>
      <c r="C7" s="54" t="n"/>
      <c r="D7" s="55" t="n"/>
      <c r="E7" s="5" t="n"/>
      <c r="F7" s="5" t="n"/>
      <c r="G7" s="5" t="n"/>
      <c r="H7" s="5" t="n"/>
    </row>
    <row r="8" ht="18" customHeight="1" s="46">
      <c r="A8" s="5" t="n"/>
      <c r="B8" s="9" t="inlineStr">
        <is>
          <t>Quanto investir por mês?</t>
        </is>
      </c>
      <c r="C8" s="62" t="n">
        <v>3000</v>
      </c>
      <c r="D8" s="57" t="n"/>
      <c r="E8" s="5" t="n"/>
      <c r="F8" s="5" t="n"/>
      <c r="G8" s="5" t="n"/>
      <c r="H8" s="5" t="n"/>
    </row>
    <row r="9" ht="18" customHeight="1" s="46">
      <c r="A9" s="5" t="n"/>
      <c r="B9" s="9" t="inlineStr">
        <is>
          <t>Por quantos Anos?</t>
        </is>
      </c>
      <c r="C9" s="63" t="n">
        <v>5</v>
      </c>
      <c r="D9" s="57" t="n"/>
      <c r="E9" s="5" t="n"/>
      <c r="F9" s="5" t="n"/>
      <c r="G9" s="5" t="n"/>
      <c r="H9" s="5" t="n"/>
    </row>
    <row r="10" ht="18" customHeight="1" s="46">
      <c r="A10" s="5" t="n"/>
      <c r="B10" s="9" t="inlineStr">
        <is>
          <t>Taxa de Rendimento Mensal?</t>
        </is>
      </c>
      <c r="C10" s="64" t="n">
        <v>0.01079</v>
      </c>
      <c r="D10" s="57" t="n"/>
      <c r="E10" s="5" t="n"/>
      <c r="F10" s="5" t="n"/>
      <c r="G10" s="5" t="n"/>
      <c r="H10" s="5" t="n"/>
    </row>
    <row r="11" ht="18" customHeight="1" s="46">
      <c r="A11" s="5" t="n"/>
      <c r="B11" s="9" t="inlineStr">
        <is>
          <t>Patrimônio Acumulado?</t>
        </is>
      </c>
      <c r="C11" s="62">
        <f>FV(TX_Mensal,Quantidade_Anos*12,Aporte*-1)</f>
        <v/>
      </c>
      <c r="D11" s="57" t="n"/>
      <c r="E11" s="5" t="n"/>
      <c r="F11" s="5" t="n"/>
      <c r="G11" s="5" t="n"/>
      <c r="H11" s="5" t="n"/>
      <c r="M11" s="2" t="n"/>
    </row>
    <row r="12" ht="18" customHeight="1" s="46" thickBot="1">
      <c r="A12" s="5" t="n"/>
      <c r="B12" s="10" t="inlineStr">
        <is>
          <t>Dividendos Mensais?</t>
        </is>
      </c>
      <c r="C12" s="65">
        <f>C11*Rendimento_Carteira</f>
        <v/>
      </c>
      <c r="D12" s="60" t="n"/>
      <c r="E12" s="5" t="n"/>
      <c r="F12" s="5" t="n"/>
      <c r="G12" s="5" t="n"/>
      <c r="H12" s="5" t="n"/>
      <c r="K12" s="2" t="n"/>
      <c r="L12" s="2" t="n"/>
      <c r="M12" s="66" t="n"/>
    </row>
    <row r="13" ht="18" customHeight="1" s="46" thickBot="1">
      <c r="A13" s="5" t="n"/>
      <c r="B13" s="5" t="n"/>
      <c r="C13" s="5" t="n"/>
      <c r="D13" s="5" t="n"/>
      <c r="E13" s="5" t="n"/>
      <c r="F13" s="5" t="n"/>
      <c r="G13" s="5" t="n"/>
      <c r="H13" s="5" t="n"/>
      <c r="K13" s="2" t="n"/>
      <c r="L13" s="2" t="n"/>
      <c r="M13" s="66" t="n"/>
    </row>
    <row r="14" ht="18" customHeight="1" s="46">
      <c r="A14" s="5" t="n"/>
      <c r="B14" s="14" t="inlineStr">
        <is>
          <t>Cenários:</t>
        </is>
      </c>
      <c r="C14" s="13" t="inlineStr">
        <is>
          <t>Patrimônio</t>
        </is>
      </c>
      <c r="D14" s="15" t="inlineStr">
        <is>
          <t>Dividendo</t>
        </is>
      </c>
      <c r="E14" s="5" t="n"/>
      <c r="F14" s="5" t="n"/>
      <c r="G14" s="5" t="n"/>
      <c r="H14" s="5" t="n"/>
      <c r="M14" s="66" t="n"/>
    </row>
    <row r="15" ht="18" customHeight="1" s="46">
      <c r="A15" s="5" t="n"/>
      <c r="B15" s="9" t="inlineStr">
        <is>
          <t>Quanto em 2 anos?</t>
        </is>
      </c>
      <c r="C15" s="67">
        <f>FV(TX_Mensal,2*12,Aporte*-1)</f>
        <v/>
      </c>
      <c r="D15" s="68">
        <f>C15*Rendimento_Carteira</f>
        <v/>
      </c>
      <c r="E15" s="5" t="n"/>
      <c r="F15" s="5" t="n"/>
      <c r="G15" s="5" t="n"/>
      <c r="H15" s="5" t="n"/>
      <c r="M15" s="66" t="n"/>
    </row>
    <row r="16" ht="18" customHeight="1" s="46">
      <c r="A16" s="5" t="n"/>
      <c r="B16" s="9" t="inlineStr">
        <is>
          <t>Quanto em 5 anos?</t>
        </is>
      </c>
      <c r="C16" s="67">
        <f>FV(TX_Mensal,5*12,Aporte*-1)</f>
        <v/>
      </c>
      <c r="D16" s="68">
        <f>C16*Rendimento_Carteira</f>
        <v/>
      </c>
      <c r="E16" s="5" t="n"/>
      <c r="F16" s="5" t="n"/>
      <c r="G16" s="5" t="n"/>
      <c r="H16" s="5" t="n"/>
      <c r="M16" s="66" t="n"/>
    </row>
    <row r="17" ht="18" customHeight="1" s="46">
      <c r="A17" s="5" t="n"/>
      <c r="B17" s="9" t="inlineStr">
        <is>
          <t>Quanto em 10 anos?</t>
        </is>
      </c>
      <c r="C17" s="67">
        <f>FV(TX_Mensal,10*12,Aporte*-1)</f>
        <v/>
      </c>
      <c r="D17" s="68">
        <f>C17*Rendimento_Carteira</f>
        <v/>
      </c>
      <c r="E17" s="5" t="n"/>
      <c r="F17" s="5" t="n"/>
      <c r="G17" s="5" t="n"/>
      <c r="H17" s="5" t="n"/>
    </row>
    <row r="18" ht="18" customHeight="1" s="46">
      <c r="A18" s="5" t="n"/>
      <c r="B18" s="9" t="inlineStr">
        <is>
          <t>Quanto em 20 anos?</t>
        </is>
      </c>
      <c r="C18" s="67">
        <f>FV(TX_Mensal,20*12,Aporte*-1)</f>
        <v/>
      </c>
      <c r="D18" s="68">
        <f>C18*Rendimento_Carteira</f>
        <v/>
      </c>
      <c r="E18" s="5" t="n"/>
      <c r="F18" s="5" t="n"/>
      <c r="G18" s="5" t="n"/>
      <c r="H18" s="5" t="n"/>
    </row>
    <row r="19" ht="18" customHeight="1" s="46" thickBot="1">
      <c r="A19" s="5" t="n"/>
      <c r="B19" s="10" t="inlineStr">
        <is>
          <t>Quanto em 30 anos?</t>
        </is>
      </c>
      <c r="C19" s="69">
        <f>FV(TX_Mensal,30*12,Aporte*-1)</f>
        <v/>
      </c>
      <c r="D19" s="70">
        <f>C19*Rendimento_Carteira</f>
        <v/>
      </c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41" t="inlineStr">
        <is>
          <t>Perfil</t>
        </is>
      </c>
      <c r="C21" s="41" t="inlineStr">
        <is>
          <t>Conservador</t>
        </is>
      </c>
      <c r="D21" s="39" t="n"/>
      <c r="E21" s="5" t="n"/>
      <c r="F21" s="5" t="n"/>
      <c r="G21" s="5" t="n"/>
      <c r="H21" s="5" t="n"/>
    </row>
    <row r="22">
      <c r="B22" s="42" t="inlineStr">
        <is>
          <t>Valor a ser investido/mês</t>
        </is>
      </c>
      <c r="C22" s="71">
        <f>Aporte</f>
        <v/>
      </c>
      <c r="D22" s="40" t="n"/>
    </row>
    <row r="24">
      <c r="B24" s="37" t="inlineStr">
        <is>
          <t>Tipo de FII</t>
        </is>
      </c>
      <c r="C24" s="37" t="inlineStr">
        <is>
          <t>Percentual Sugerido</t>
        </is>
      </c>
      <c r="D24" s="37" t="inlineStr">
        <is>
          <t>Valores</t>
        </is>
      </c>
    </row>
    <row r="25">
      <c r="B25" s="36" t="inlineStr">
        <is>
          <t>Papel</t>
        </is>
      </c>
      <c r="C25" s="38">
        <f>VLOOKUP($C$21&amp;"-"&amp;B25,Suporte!$A$3:$D$20,4,FALSE)</f>
        <v/>
      </c>
      <c r="D25" s="72">
        <f>$C$22*C25</f>
        <v/>
      </c>
    </row>
    <row r="26">
      <c r="B26" s="36" t="inlineStr">
        <is>
          <t>Tijolo</t>
        </is>
      </c>
      <c r="C26" s="38">
        <f>VLOOKUP($C$21&amp;"-"&amp;B26,Suporte!$A$3:$D$20,4,FALSE)</f>
        <v/>
      </c>
      <c r="D26" s="72">
        <f>$C$22*C26</f>
        <v/>
      </c>
    </row>
    <row r="27">
      <c r="B27" s="36" t="inlineStr">
        <is>
          <t>Híbrido</t>
        </is>
      </c>
      <c r="C27" s="38">
        <f>VLOOKUP($C$21&amp;"-"&amp;B27,Suporte!$A$3:$D$20,4,FALSE)</f>
        <v/>
      </c>
      <c r="D27" s="72">
        <f>$C$22*C27</f>
        <v/>
      </c>
    </row>
    <row r="28">
      <c r="B28" s="36" t="inlineStr">
        <is>
          <t>FOFs</t>
        </is>
      </c>
      <c r="C28" s="38">
        <f>VLOOKUP($C$21&amp;"-"&amp;B28,Suporte!$A$3:$D$20,4,FALSE)</f>
        <v/>
      </c>
      <c r="D28" s="72">
        <f>$C$22*C28</f>
        <v/>
      </c>
    </row>
    <row r="29">
      <c r="B29" s="36" t="inlineStr">
        <is>
          <t>Desenvolvimento</t>
        </is>
      </c>
      <c r="C29" s="38">
        <f>VLOOKUP($C$21&amp;"-"&amp;B29,Suporte!$A$3:$D$20,4,FALSE)</f>
        <v/>
      </c>
      <c r="D29" s="72">
        <f>$C$22*C29</f>
        <v/>
      </c>
    </row>
    <row r="30">
      <c r="B30" s="36" t="inlineStr">
        <is>
          <t>Hotelaria</t>
        </is>
      </c>
      <c r="C30" s="38">
        <f>VLOOKUP($C$21&amp;"-"&amp;B30,Suporte!$A$3:$D$20,4,FALSE)</f>
        <v/>
      </c>
      <c r="D30" s="72">
        <f>$C$22*C30</f>
        <v/>
      </c>
    </row>
    <row r="31">
      <c r="B31" s="35" t="n"/>
      <c r="C31" s="73">
        <f>SUM(C25:C30)</f>
        <v/>
      </c>
      <c r="D31" s="74">
        <f>SUM(D25:D30)</f>
        <v/>
      </c>
    </row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</sheetData>
  <mergeCells count="10">
    <mergeCell ref="C12:D12"/>
    <mergeCell ref="C10:D10"/>
    <mergeCell ref="C11:D11"/>
    <mergeCell ref="C5:D5"/>
    <mergeCell ref="B2:D2"/>
    <mergeCell ref="C9:D9"/>
    <mergeCell ref="B7:D7"/>
    <mergeCell ref="C3:D3"/>
    <mergeCell ref="C8:D8"/>
    <mergeCell ref="C4:D4"/>
  </mergeCells>
  <dataValidations count="1">
    <dataValidation sqref="C21" showDropDown="0" showInputMessage="0" showErrorMessage="1" allowBlank="0" type="list">
      <formula1>"Conservador,Moderado,Agressivo"</formula1>
    </dataValidation>
  </dataValidations>
  <pageMargins left="0.7" right="0.7" top="0.75" bottom="0.75" header="0.3" footer="0.3"/>
  <pageSetup fitToHeight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0"/>
  <sheetViews>
    <sheetView workbookViewId="0">
      <selection activeCell="G7" sqref="G7"/>
    </sheetView>
  </sheetViews>
  <sheetFormatPr baseColWidth="8" defaultRowHeight="15"/>
  <cols>
    <col width="28.42578125" bestFit="1" customWidth="1" style="46" min="1" max="1"/>
    <col width="12.140625" bestFit="1" customWidth="1" style="46" min="2" max="2"/>
    <col width="16.140625" bestFit="1" customWidth="1" style="46" min="3" max="3"/>
    <col width="10.42578125" bestFit="1" customWidth="1" style="46" min="4" max="4"/>
  </cols>
  <sheetData>
    <row r="2">
      <c r="A2" s="52" t="inlineStr">
        <is>
          <t>Chave</t>
        </is>
      </c>
      <c r="B2" s="52" t="inlineStr">
        <is>
          <t>Perfil</t>
        </is>
      </c>
      <c r="C2" s="52" t="inlineStr">
        <is>
          <t>Tipo de FII</t>
        </is>
      </c>
      <c r="D2" s="52" t="inlineStr">
        <is>
          <t>Percentual</t>
        </is>
      </c>
    </row>
    <row r="3">
      <c r="A3" s="51">
        <f>B3&amp;"-"&amp;C3</f>
        <v/>
      </c>
      <c r="B3" s="51" t="inlineStr">
        <is>
          <t>Conservador</t>
        </is>
      </c>
      <c r="C3" s="51" t="inlineStr">
        <is>
          <t>Papel</t>
        </is>
      </c>
      <c r="D3" s="48" t="n">
        <v>0.3</v>
      </c>
    </row>
    <row r="4">
      <c r="A4" s="51">
        <f>B4&amp;"-"&amp;C4</f>
        <v/>
      </c>
      <c r="B4" s="51" t="inlineStr">
        <is>
          <t>Conservador</t>
        </is>
      </c>
      <c r="C4" s="51" t="inlineStr">
        <is>
          <t>Tijolo</t>
        </is>
      </c>
      <c r="D4" s="48" t="n">
        <v>0.5</v>
      </c>
    </row>
    <row r="5">
      <c r="A5" s="51">
        <f>B5&amp;"-"&amp;C5</f>
        <v/>
      </c>
      <c r="B5" s="51" t="inlineStr">
        <is>
          <t>Conservador</t>
        </is>
      </c>
      <c r="C5" s="51" t="inlineStr">
        <is>
          <t>Híbrido</t>
        </is>
      </c>
      <c r="D5" s="48" t="n">
        <v>0.1</v>
      </c>
    </row>
    <row r="6">
      <c r="A6" s="51">
        <f>B6&amp;"-"&amp;C6</f>
        <v/>
      </c>
      <c r="B6" s="51" t="inlineStr">
        <is>
          <t>Conservador</t>
        </is>
      </c>
      <c r="C6" s="51" t="inlineStr">
        <is>
          <t>FOFs</t>
        </is>
      </c>
      <c r="D6" s="48" t="n">
        <v>0.1</v>
      </c>
    </row>
    <row r="7">
      <c r="A7" s="51">
        <f>B7&amp;"-"&amp;C7</f>
        <v/>
      </c>
      <c r="B7" s="51" t="inlineStr">
        <is>
          <t>Conservador</t>
        </is>
      </c>
      <c r="C7" s="51" t="inlineStr">
        <is>
          <t>Desenvolvimento</t>
        </is>
      </c>
      <c r="D7" s="48" t="n">
        <v>0</v>
      </c>
    </row>
    <row r="8">
      <c r="A8" s="51">
        <f>B8&amp;"-"&amp;C8</f>
        <v/>
      </c>
      <c r="B8" s="51" t="inlineStr">
        <is>
          <t>Conservador</t>
        </is>
      </c>
      <c r="C8" s="51" t="inlineStr">
        <is>
          <t>Hotelaria</t>
        </is>
      </c>
      <c r="D8" s="48" t="n">
        <v>0</v>
      </c>
    </row>
    <row r="9">
      <c r="A9" s="51">
        <f>B9&amp;"-"&amp;C9</f>
        <v/>
      </c>
      <c r="B9" s="51" t="inlineStr">
        <is>
          <t>Moderado</t>
        </is>
      </c>
      <c r="C9" s="51" t="inlineStr">
        <is>
          <t>Papel</t>
        </is>
      </c>
      <c r="D9" s="48" t="n">
        <v>0.32</v>
      </c>
    </row>
    <row r="10">
      <c r="A10" s="51">
        <f>B10&amp;"-"&amp;C10</f>
        <v/>
      </c>
      <c r="B10" s="51" t="inlineStr">
        <is>
          <t>Moderado</t>
        </is>
      </c>
      <c r="C10" s="51" t="inlineStr">
        <is>
          <t>Tijolo</t>
        </is>
      </c>
      <c r="D10" s="48" t="n">
        <v>0.3</v>
      </c>
    </row>
    <row r="11">
      <c r="A11" s="51">
        <f>B11&amp;"-"&amp;C11</f>
        <v/>
      </c>
      <c r="B11" s="51" t="inlineStr">
        <is>
          <t>Moderado</t>
        </is>
      </c>
      <c r="C11" s="51" t="inlineStr">
        <is>
          <t>Híbrido</t>
        </is>
      </c>
      <c r="D11" s="48" t="n">
        <v>0.08</v>
      </c>
    </row>
    <row r="12">
      <c r="A12" s="51">
        <f>B12&amp;"-"&amp;C12</f>
        <v/>
      </c>
      <c r="B12" s="51" t="inlineStr">
        <is>
          <t>Moderado</t>
        </is>
      </c>
      <c r="C12" s="51" t="inlineStr">
        <is>
          <t>FOFs</t>
        </is>
      </c>
      <c r="D12" s="48" t="n">
        <v>0.1</v>
      </c>
    </row>
    <row r="13">
      <c r="A13" s="51">
        <f>B13&amp;"-"&amp;C13</f>
        <v/>
      </c>
      <c r="B13" s="51" t="inlineStr">
        <is>
          <t>Moderado</t>
        </is>
      </c>
      <c r="C13" s="51" t="inlineStr">
        <is>
          <t>Desenvolvimento</t>
        </is>
      </c>
      <c r="D13" s="48" t="n">
        <v>0.1</v>
      </c>
    </row>
    <row r="14">
      <c r="A14" s="51">
        <f>B14&amp;"-"&amp;C14</f>
        <v/>
      </c>
      <c r="B14" s="51" t="inlineStr">
        <is>
          <t>Moderado</t>
        </is>
      </c>
      <c r="C14" s="51" t="inlineStr">
        <is>
          <t>Hotelaria</t>
        </is>
      </c>
      <c r="D14" s="48" t="n">
        <v>0.1</v>
      </c>
    </row>
    <row r="15">
      <c r="A15" s="51">
        <f>B15&amp;"-"&amp;C15</f>
        <v/>
      </c>
      <c r="B15" s="51" t="inlineStr">
        <is>
          <t>Agressivo</t>
        </is>
      </c>
      <c r="C15" s="51" t="inlineStr">
        <is>
          <t>Papel</t>
        </is>
      </c>
      <c r="D15" s="48" t="n">
        <v>0.5</v>
      </c>
    </row>
    <row r="16">
      <c r="A16" s="51">
        <f>B16&amp;"-"&amp;C16</f>
        <v/>
      </c>
      <c r="B16" s="51" t="inlineStr">
        <is>
          <t>Agressivo</t>
        </is>
      </c>
      <c r="C16" s="51" t="inlineStr">
        <is>
          <t>Tijolo</t>
        </is>
      </c>
      <c r="D16" s="48" t="n">
        <v>0.1</v>
      </c>
    </row>
    <row r="17">
      <c r="A17" s="51">
        <f>B17&amp;"-"&amp;C17</f>
        <v/>
      </c>
      <c r="B17" s="51" t="inlineStr">
        <is>
          <t>Agressivo</t>
        </is>
      </c>
      <c r="C17" s="51" t="inlineStr">
        <is>
          <t>Híbrido</t>
        </is>
      </c>
      <c r="D17" s="48" t="n">
        <v>0.05</v>
      </c>
    </row>
    <row r="18">
      <c r="A18" s="51">
        <f>B18&amp;"-"&amp;C18</f>
        <v/>
      </c>
      <c r="B18" s="51" t="inlineStr">
        <is>
          <t>Agressivo</t>
        </is>
      </c>
      <c r="C18" s="51" t="inlineStr">
        <is>
          <t>FOFs</t>
        </is>
      </c>
      <c r="D18" s="48" t="n">
        <v>0.05</v>
      </c>
    </row>
    <row r="19">
      <c r="A19" s="51">
        <f>B19&amp;"-"&amp;C19</f>
        <v/>
      </c>
      <c r="B19" s="51" t="inlineStr">
        <is>
          <t>Agressivo</t>
        </is>
      </c>
      <c r="C19" s="51" t="inlineStr">
        <is>
          <t>Desenvolvimento</t>
        </is>
      </c>
      <c r="D19" s="48" t="n">
        <v>0.2</v>
      </c>
    </row>
    <row r="20">
      <c r="A20" s="51">
        <f>B20&amp;"-"&amp;C20</f>
        <v/>
      </c>
      <c r="B20" s="51" t="inlineStr">
        <is>
          <t>Agressivo</t>
        </is>
      </c>
      <c r="C20" s="51" t="inlineStr">
        <is>
          <t>Hotelaria</t>
        </is>
      </c>
      <c r="D20" s="48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Victório Meireles</dc:creator>
  <dcterms:created xmlns:dcterms="http://purl.org/dc/terms/" xmlns:xsi="http://www.w3.org/2001/XMLSchema-instance" xsi:type="dcterms:W3CDTF">2026-10-16T23:11:23Z</dcterms:created>
  <dcterms:modified xmlns:dcterms="http://purl.org/dc/terms/" xmlns:xsi="http://www.w3.org/2001/XMLSchema-instance" xsi:type="dcterms:W3CDTF">2026-10-17T00:05:28Z</dcterms:modified>
  <cp:lastModifiedBy>Victório Meireles</cp:lastModifiedBy>
</cp:coreProperties>
</file>